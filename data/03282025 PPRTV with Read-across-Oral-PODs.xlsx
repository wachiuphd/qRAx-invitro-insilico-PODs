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chiu/Library/CloudStorage/Dropbox/WCHIU-Documents/!Projects-Current/!USETOX/QSAR-PPRTV-Comparison/"/>
    </mc:Choice>
  </mc:AlternateContent>
  <xr:revisionPtr revIDLastSave="0" documentId="13_ncr:1_{0F02D8CE-54DD-9244-98DD-F709BCCDA266}" xr6:coauthVersionLast="47" xr6:coauthVersionMax="47" xr10:uidLastSave="{00000000-0000-0000-0000-000000000000}"/>
  <bookViews>
    <workbookView xWindow="5980" yWindow="1760" windowWidth="30240" windowHeight="19640" activeTab="1" xr2:uid="{1DB44E03-2351-4BF6-B759-15468D9C913A}"/>
  </bookViews>
  <sheets>
    <sheet name="Read_Me" sheetId="2" r:id="rId1"/>
    <sheet name="PPRTV with Read-acros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2" i="1" l="1"/>
  <c r="Q42" i="1" s="1"/>
  <c r="Q41" i="1"/>
  <c r="P40" i="1"/>
  <c r="Q40" i="1"/>
  <c r="Q38" i="1"/>
  <c r="Q37" i="1"/>
  <c r="Q36" i="1"/>
  <c r="Q30" i="1"/>
  <c r="Q29" i="1"/>
  <c r="Q21" i="1"/>
  <c r="P13" i="1"/>
  <c r="Q2" i="1"/>
  <c r="Q6" i="1"/>
  <c r="Q34" i="1"/>
  <c r="Q33" i="1"/>
</calcChain>
</file>

<file path=xl/sharedStrings.xml><?xml version="1.0" encoding="utf-8"?>
<sst xmlns="http://schemas.openxmlformats.org/spreadsheetml/2006/main" count="594" uniqueCount="225">
  <si>
    <t>PPRTV Substance ID</t>
  </si>
  <si>
    <t>Chemical</t>
  </si>
  <si>
    <t>CASRN</t>
  </si>
  <si>
    <t>Last Revision</t>
  </si>
  <si>
    <t>PPRTV Assessment</t>
  </si>
  <si>
    <t>IRIS Link</t>
  </si>
  <si>
    <t>RfC Value</t>
  </si>
  <si>
    <t>RfD Value</t>
  </si>
  <si>
    <t>WOE</t>
  </si>
  <si>
    <t>RA Present?</t>
  </si>
  <si>
    <t>RfD</t>
  </si>
  <si>
    <t>RfC</t>
  </si>
  <si>
    <t>Aluminum Phosphate Salts</t>
  </si>
  <si>
    <t>https://cfpub.epa.gov/ncea/pprtv/documents/AluminumPhosphateSalts.pdf</t>
  </si>
  <si>
    <t>Not available</t>
  </si>
  <si>
    <t>3 x 10-1 mg/kg-day</t>
  </si>
  <si>
    <t>Inadequate information to assess carcinogenic potential</t>
  </si>
  <si>
    <t>Y</t>
  </si>
  <si>
    <t>4-Amino-2,6-Dinitrotoluene</t>
  </si>
  <si>
    <t>19406-51-0</t>
  </si>
  <si>
    <t>https://cfpub.epa.gov/ncea/pprtv/documents/Amino26Dinitrotoluene4.pdf</t>
  </si>
  <si>
    <t>1 x 10-4 mg/kg-day</t>
  </si>
  <si>
    <t>2-Amino-4,6-Dinitrotoluene</t>
  </si>
  <si>
    <t>35572-78-2</t>
  </si>
  <si>
    <t>https://cfpub.epa.gov/ncea/pprtv/documents/Amino46Dinitrotoluene2.pdf</t>
  </si>
  <si>
    <t>Ammonium Picrate</t>
  </si>
  <si>
    <t>131-74-8</t>
  </si>
  <si>
    <t>https://cfpub.epa.gov/ncea/pprtv/documents/AmmoniumPicrate.pdf</t>
  </si>
  <si>
    <t>2 x 10-3 mg/kg-day</t>
  </si>
  <si>
    <t>Benzo[e]pyrene (BeP)</t>
  </si>
  <si>
    <t>192-97-2</t>
  </si>
  <si>
    <t>https://cfpub.epa.gov/ncea/pprtv/documents/Benzo[e]pyreneBeP.pdf</t>
  </si>
  <si>
    <t>2 x 10-6 mg/m3</t>
  </si>
  <si>
    <t>9 x 10-5 mg/kg-day</t>
  </si>
  <si>
    <t>2,3-Benzofluorene</t>
  </si>
  <si>
    <t>243-17-4</t>
  </si>
  <si>
    <t>https://cfpub.epa.gov/ncea/pprtv/documents/Benzofluorene23.pdf</t>
  </si>
  <si>
    <t>5 x 10-3 mg/kg-day</t>
  </si>
  <si>
    <t>1-Bromo-2-chloroethane</t>
  </si>
  <si>
    <t>107-04-0</t>
  </si>
  <si>
    <t>https://cfpub.epa.gov/ncea/pprtv/documents/Bromo2chloroethane1.pdf</t>
  </si>
  <si>
    <t>6 x 10-5 mg/m3</t>
  </si>
  <si>
    <t>1-Bromo-3-fluorobenzene</t>
  </si>
  <si>
    <t>1073-06-9</t>
  </si>
  <si>
    <t>https://cfpub.epa.gov/ncea/pprtv/documents/Bromo3fluorobenzene1.pdf</t>
  </si>
  <si>
    <t>p-Bromofluorobenzene</t>
  </si>
  <si>
    <t>460-00-4</t>
  </si>
  <si>
    <t>https://cfpub.epa.gov/ncea/pprtv/documents/Bromofluorobenzenep.pdf</t>
  </si>
  <si>
    <t>tert-Butyl Formate</t>
  </si>
  <si>
    <t>762-75-4</t>
  </si>
  <si>
    <t>https://cfpub.epa.gov/ncea/pprtv/documents/ButylFormatetert.pdf</t>
  </si>
  <si>
    <t>p,p'-DDD</t>
  </si>
  <si>
    <t>72-54-8</t>
  </si>
  <si>
    <t>https://cfpub.epa.gov/ncea/pprtv/documents/DDDpp.pdf</t>
  </si>
  <si>
    <t>https://cfpub.epa.gov/ncea/iris2/chemicalLanding.cfm?substance_nmbr=347</t>
  </si>
  <si>
    <t>See the IRIS entry for p,p'-DDD</t>
  </si>
  <si>
    <t>Dibenzothiophene</t>
  </si>
  <si>
    <t>132-65-0</t>
  </si>
  <si>
    <t>https://cfpub.epa.gov/ncea/pprtv/documents/Dibenzothiophene.pdf</t>
  </si>
  <si>
    <t>no value derived</t>
  </si>
  <si>
    <t>cis-1,2-Dichloroethylene</t>
  </si>
  <si>
    <t>156-59-2</t>
  </si>
  <si>
    <t>https://cfpub.epa.gov/ncea/pprtv/documents/Dichloroethylenecis12.pdf</t>
  </si>
  <si>
    <t>https://cfpub.epa.gov/ncea/iris2/chemicalLanding.cfm?substance_nmbr=418</t>
  </si>
  <si>
    <t>4 x 10-2 mg/m3</t>
  </si>
  <si>
    <t>See IRIS</t>
  </si>
  <si>
    <t>2,2-Difluoropropane</t>
  </si>
  <si>
    <t>420-45-1</t>
  </si>
  <si>
    <t>https://cfpub.epa.gov/ncea/pprtv/documents/Difluoropropane22.pdf</t>
  </si>
  <si>
    <t>3,5-Dinitroaniline</t>
  </si>
  <si>
    <t>618-87-1</t>
  </si>
  <si>
    <t>https://cfpub.epa.gov/ncea/pprtv/documents/Dinitroaniline35.pdf</t>
  </si>
  <si>
    <t>2 x 10-3 mg/m3</t>
  </si>
  <si>
    <t>4 x 10-4 mg/kg-day</t>
  </si>
  <si>
    <t>n-Heptanal</t>
  </si>
  <si>
    <t>111-71-7</t>
  </si>
  <si>
    <t>https://cfpub.epa.gov/ncea/pprtv/documents/Heptanaln.pdf</t>
  </si>
  <si>
    <t>delta-Hexachlorocyclohexane</t>
  </si>
  <si>
    <t>319-86-8</t>
  </si>
  <si>
    <t>https://cfpub.epa.gov/ncea/pprtv/documents/Hexachlorocyclohexanedelta.pdf</t>
  </si>
  <si>
    <t>https://cfpub.epa.gov/ncea/iris2/chemicalLanding.cfm?substance_nmbr=163</t>
  </si>
  <si>
    <t>6 x 10-8 mg/kg-day</t>
  </si>
  <si>
    <t>See the IRIS entry for delta-Hexachlorocyclohexane</t>
  </si>
  <si>
    <t>4-Methyl-2-Pentanol</t>
  </si>
  <si>
    <t>108-11-2</t>
  </si>
  <si>
    <t>https://cfpub.epa.gov/ncea/pprtv/documents/Methyl2Pentanol4.pdf</t>
  </si>
  <si>
    <t>Pentamethylphosphoramide (PMPA)</t>
  </si>
  <si>
    <t>10159-46-3</t>
  </si>
  <si>
    <t>https://cfpub.epa.gov/ncea/pprtv/documents/PentamethylphosphoramidePMPA.pdf</t>
  </si>
  <si>
    <t>Perylene</t>
  </si>
  <si>
    <t>198-55-0</t>
  </si>
  <si>
    <t>https://cfpub.epa.gov/ncea/pprtv/documents/Perylene.pdf</t>
  </si>
  <si>
    <t>1-Phenyl-1-(2,4-dimethylphenyl)-ethane (PXE)</t>
  </si>
  <si>
    <t>6165-52-2</t>
  </si>
  <si>
    <t>1-Phenyl-1-(4-methylphenyl)-ethane (PTE)</t>
  </si>
  <si>
    <t>3717-68-8</t>
  </si>
  <si>
    <t>Picric Acid (2,4,6-Trinitrophenol)</t>
  </si>
  <si>
    <t>88-89-1</t>
  </si>
  <si>
    <t>https://cfpub.epa.gov/ncea/pprtv/documents/PicricAcid246Trinitrophenol.pdf</t>
  </si>
  <si>
    <t>N,N,N',N'' Tetramethylphosphoramide (TMPA)</t>
  </si>
  <si>
    <t>16853-36-4</t>
  </si>
  <si>
    <t>https://cfpub.epa.gov/ncea/pprtv/documents/TetramethylphosphoramideTMPANNNN.pdf</t>
  </si>
  <si>
    <t>2,3-Toluenediamine</t>
  </si>
  <si>
    <t>2687-25-4</t>
  </si>
  <si>
    <t>https://cfpub.epa.gov/ncea/pprtv/documents/Toluenediamine23.pdf</t>
  </si>
  <si>
    <t>3,4-Toluenediamine</t>
  </si>
  <si>
    <t>496-72-0</t>
  </si>
  <si>
    <t>https://cfpub.epa.gov/ncea/pprtv/documents/Toluenediamine34.pdf</t>
  </si>
  <si>
    <t>o-Aminophenol</t>
  </si>
  <si>
    <t>95-55-6</t>
  </si>
  <si>
    <t>https://cfpub.epa.gov/ncea/pprtv/documents/Aminophenolo.pdf</t>
  </si>
  <si>
    <t>tert-Butylbenzene</t>
  </si>
  <si>
    <t>98-06-6</t>
  </si>
  <si>
    <t>https://cfpub.epa.gov/ncea/pprtv/documents/Butylbenzenetert.pdf</t>
  </si>
  <si>
    <t>sec-Butylbenzene</t>
  </si>
  <si>
    <t>135-98-8</t>
  </si>
  <si>
    <t>https://cfpub.epa.gov/ncea/pprtv/documents/Butylbenzenesec.pdf</t>
  </si>
  <si>
    <t>Cyanogen Bromide</t>
  </si>
  <si>
    <t>506-68-3</t>
  </si>
  <si>
    <t>https://cfpub.epa.gov/ncea/pprtv/documents/CyanogenBromide.pdf</t>
  </si>
  <si>
    <t>https://cfpub.epa.gov/ncea/iris2/chemicalLanding.cfm?substance_nmbr=358</t>
  </si>
  <si>
    <t>no value derived in PPRTV</t>
  </si>
  <si>
    <t>1,3-Dibromobenzene</t>
  </si>
  <si>
    <t>108-36-1</t>
  </si>
  <si>
    <t>https://cfpub.epa.gov/ncea/pprtv/documents/Dibromobenzene13.pdf</t>
  </si>
  <si>
    <t>n-Heptane</t>
  </si>
  <si>
    <t>142-82-5</t>
  </si>
  <si>
    <t>https://cfpub.epa.gov/ncea/pprtv/documents/Heptanen.pdf</t>
  </si>
  <si>
    <t>https://cfpub.epa.gov/ncea/iris2/chemicalLanding.cfm?substance_nmbr=607</t>
  </si>
  <si>
    <t>4 x 10-1 mg/m3</t>
  </si>
  <si>
    <t>Methyl Phosphonic Acid</t>
  </si>
  <si>
    <t>993-13-5</t>
  </si>
  <si>
    <t>https://cfpub.epa.gov/ncea/pprtv/documents/MethylPhosphonicAcid.pdf</t>
  </si>
  <si>
    <t>Picramic Acid (2-Amino-4,6-dinitrophenol)</t>
  </si>
  <si>
    <t>96-91-3</t>
  </si>
  <si>
    <t>https://cfpub.epa.gov/ncea/pprtv/documents/PicramicAcid2Amino46dinitrophenol.pdf</t>
  </si>
  <si>
    <t>n-Propylbenzene</t>
  </si>
  <si>
    <t>103-65-1</t>
  </si>
  <si>
    <t>https://cfpub.epa.gov/ncea/pprtv/documents/Propylbenzenen.pdf</t>
  </si>
  <si>
    <t>no value derived but RA was attempted</t>
  </si>
  <si>
    <t>set in prior email, has been evaluated according to our Aes</t>
  </si>
  <si>
    <t>Was there a search for an surrogate according to Wang et al 2012?</t>
  </si>
  <si>
    <t>An RfD value was derived by the surrogate</t>
  </si>
  <si>
    <t>An RfC value was derived by the surrogate</t>
  </si>
  <si>
    <t>The columns that I added to the sheet, all others are original to the EPA export</t>
  </si>
  <si>
    <t>LOAEL</t>
  </si>
  <si>
    <t>POD-Type</t>
  </si>
  <si>
    <t>POD</t>
  </si>
  <si>
    <t>POD-HED</t>
  </si>
  <si>
    <t>POD-Species</t>
  </si>
  <si>
    <t>rat</t>
  </si>
  <si>
    <t>Notes</t>
  </si>
  <si>
    <t>TWA adjusted</t>
  </si>
  <si>
    <t>BMDL</t>
  </si>
  <si>
    <t>mouse</t>
  </si>
  <si>
    <t>NOAEL</t>
  </si>
  <si>
    <t>HED provided</t>
  </si>
  <si>
    <t>POD-Endpoint</t>
  </si>
  <si>
    <t>POD-Category</t>
  </si>
  <si>
    <t>GeneralTox</t>
  </si>
  <si>
    <t>Increased AST</t>
  </si>
  <si>
    <t>Increased liver/body weight</t>
  </si>
  <si>
    <t>Forestomach lesions</t>
  </si>
  <si>
    <t>Male repro tox</t>
  </si>
  <si>
    <t>RepDev</t>
  </si>
  <si>
    <t>Decreased RBC, PCV, hct</t>
  </si>
  <si>
    <t>Decreased BUN</t>
  </si>
  <si>
    <t>Subchronic HED (no chronic provided)</t>
  </si>
  <si>
    <t>Liver lesions</t>
  </si>
  <si>
    <t>No oral value</t>
  </si>
  <si>
    <t>Neurobehavioral</t>
  </si>
  <si>
    <t>Hepatocyte swelling</t>
  </si>
  <si>
    <t>dog</t>
  </si>
  <si>
    <t>Methemoglobinemia</t>
  </si>
  <si>
    <t>rabbit</t>
  </si>
  <si>
    <t>Testicular toxicity</t>
  </si>
  <si>
    <t>Hepatocyte hypertrophy</t>
  </si>
  <si>
    <t>Electrophysiology in offspring</t>
  </si>
  <si>
    <t>Nasal lesions</t>
  </si>
  <si>
    <t>https://ordspub.epa.gov/ords/eims/eimscomm.getfile?p_download_id=548341</t>
  </si>
  <si>
    <t>https://ordspub.epa.gov/ords/eims/eimscomm.getfile?p_download_id=549706</t>
  </si>
  <si>
    <t>no analogue</t>
  </si>
  <si>
    <t>Nephrosis</t>
  </si>
  <si>
    <t>Increased kidney weight</t>
  </si>
  <si>
    <t>Cataracts</t>
  </si>
  <si>
    <t>human</t>
  </si>
  <si>
    <t>UF&gt;3000</t>
  </si>
  <si>
    <t>Liver and kidney tox</t>
  </si>
  <si>
    <t>UF_L</t>
  </si>
  <si>
    <t>UF_S</t>
  </si>
  <si>
    <t>Subchronic HED (no chronic provided); BMDL based on HEDs</t>
  </si>
  <si>
    <t>UF_D</t>
  </si>
  <si>
    <t>https://cfpub.epa.gov/ncea/pprtv/documents/Dinitrobenzene12.pdf</t>
  </si>
  <si>
    <t>https://cfpub.epa.gov/ncea/pprtv/documents/Dinitrobenzene14.pdf</t>
  </si>
  <si>
    <t>https://cfpub.epa.gov/ncea/pprtv/documents/ThiocyanicAcid.pdf</t>
  </si>
  <si>
    <t>https://cfpub.epa.gov/ncea/pprtv/documents/MethylAcetate.pdf</t>
  </si>
  <si>
    <t>https://cfpub.epa.gov/ncea/pprtv/documents/EndosulfanSulfate.pdf</t>
  </si>
  <si>
    <t>https://cfpub.epa.gov/ncea/pprtv/documents/Guanidine.pdf</t>
  </si>
  <si>
    <t>1,2-Dinitrobenzene</t>
  </si>
  <si>
    <t>528-29-0</t>
  </si>
  <si>
    <t>https://cfpub.epa.gov/ncea/iris2/chemicalLanding.cfm?substance_nmbr=633</t>
  </si>
  <si>
    <t>1,4-Dinitrobenzene</t>
  </si>
  <si>
    <t>100-25-4</t>
  </si>
  <si>
    <t>Thiocyanic Acid</t>
  </si>
  <si>
    <t>Methyl Acetate</t>
  </si>
  <si>
    <t>79-20-9</t>
  </si>
  <si>
    <t>Endosulfan Sulfate</t>
  </si>
  <si>
    <t>1031-07-8</t>
  </si>
  <si>
    <t>Guanidine</t>
  </si>
  <si>
    <t>113-00-8</t>
  </si>
  <si>
    <t>Isomers</t>
  </si>
  <si>
    <t>Thiocyanate anion</t>
  </si>
  <si>
    <t>Hydrolyzed to methanol</t>
  </si>
  <si>
    <t>Endosulfan</t>
  </si>
  <si>
    <t>Guanidine chloride</t>
  </si>
  <si>
    <t>Increased splenic weight</t>
  </si>
  <si>
    <t>Changes in Thyroid endpoitns</t>
  </si>
  <si>
    <t>Increased SAP, SGPT; decreased brain weight</t>
  </si>
  <si>
    <t>MW adjusted</t>
  </si>
  <si>
    <t>Decreased BW gain, increased incidence of marked progressive glomerulonephrosis, and blood vessel aneurysms</t>
  </si>
  <si>
    <t>Side effects</t>
  </si>
  <si>
    <t>AddlNotes</t>
  </si>
  <si>
    <t>7784-30-7</t>
  </si>
  <si>
    <t>Selected one representative CASRN</t>
  </si>
  <si>
    <t>463-56-9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</si>
</sst>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0" borderId="0" xfId="1" applyFill="1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2" fillId="0" borderId="0" xfId="1"/>
    <xf numFmtId="0" fontId="0" fillId="4" borderId="0" xfId="0" applyFill="1"/>
    <xf numFmtId="0" fontId="0" fillId="5" borderId="0" xfId="0" applyFill="1"/>
    <xf numFmtId="0" fontId="4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ordspub.epa.gov/ords/eims/eimscomm.getfile?p_download_id=548341" TargetMode="External"/><Relationship Id="rId1" Type="http://schemas.openxmlformats.org/officeDocument/2006/relationships/hyperlink" Target="https://cfpub.epa.gov/ncea/pprtv/documents/AluminumPhosphateSalt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9F51D-9E64-49FA-A018-F4CBC12C78CD}">
  <dimension ref="A2:C8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10.6640625" bestFit="1" customWidth="1"/>
    <col min="2" max="2" width="57.5" bestFit="1" customWidth="1"/>
  </cols>
  <sheetData>
    <row r="2" spans="1:3" x14ac:dyDescent="0.2">
      <c r="A2" s="3"/>
      <c r="B2" t="s">
        <v>140</v>
      </c>
    </row>
    <row r="3" spans="1:3" x14ac:dyDescent="0.2">
      <c r="A3" s="4"/>
      <c r="B3" t="s">
        <v>139</v>
      </c>
    </row>
    <row r="6" spans="1:3" x14ac:dyDescent="0.2">
      <c r="A6" s="8" t="s">
        <v>9</v>
      </c>
      <c r="B6" t="s">
        <v>141</v>
      </c>
      <c r="C6" t="s">
        <v>144</v>
      </c>
    </row>
    <row r="7" spans="1:3" x14ac:dyDescent="0.2">
      <c r="A7" s="8" t="s">
        <v>10</v>
      </c>
      <c r="B7" t="s">
        <v>142</v>
      </c>
    </row>
    <row r="8" spans="1:3" x14ac:dyDescent="0.2">
      <c r="A8" s="8" t="s">
        <v>11</v>
      </c>
      <c r="B8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62C0-8E41-4829-9E72-A3F280E69A45}">
  <dimension ref="A1:W42"/>
  <sheetViews>
    <sheetView tabSelected="1" zoomScaleNormal="100" workbookViewId="0">
      <selection activeCell="A39" sqref="A39"/>
    </sheetView>
  </sheetViews>
  <sheetFormatPr baseColWidth="10" defaultColWidth="8.83203125" defaultRowHeight="15" x14ac:dyDescent="0.2"/>
  <cols>
    <col min="1" max="1" width="16.83203125" bestFit="1" customWidth="1"/>
    <col min="2" max="2" width="37.33203125" bestFit="1" customWidth="1"/>
    <col min="3" max="3" width="9.83203125" bestFit="1" customWidth="1"/>
    <col min="4" max="4" width="11" customWidth="1"/>
    <col min="5" max="5" width="72.83203125" customWidth="1"/>
    <col min="6" max="6" width="63.6640625" hidden="1" customWidth="1"/>
    <col min="7" max="7" width="13" hidden="1" customWidth="1"/>
    <col min="8" max="8" width="15.6640625" hidden="1" customWidth="1"/>
    <col min="9" max="9" width="52.6640625" hidden="1" customWidth="1"/>
    <col min="10" max="10" width="15" customWidth="1"/>
    <col min="11" max="11" width="8.6640625" style="1"/>
    <col min="12" max="12" width="8.83203125" style="10"/>
    <col min="13" max="13" width="12.1640625" style="10" bestFit="1" customWidth="1"/>
    <col min="14" max="14" width="12" style="10" bestFit="1" customWidth="1"/>
    <col min="15" max="15" width="8.83203125" style="1"/>
    <col min="16" max="17" width="9.1640625" style="1" bestFit="1" customWidth="1"/>
    <col min="18" max="20" width="9.1640625" style="1" customWidth="1"/>
    <col min="21" max="21" width="36.6640625" style="10" customWidth="1"/>
    <col min="22" max="22" width="8.6640625" style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5" t="s">
        <v>9</v>
      </c>
      <c r="K1" s="5" t="s">
        <v>10</v>
      </c>
      <c r="L1" s="9" t="s">
        <v>146</v>
      </c>
      <c r="M1" s="9" t="s">
        <v>157</v>
      </c>
      <c r="N1" s="9" t="s">
        <v>158</v>
      </c>
      <c r="O1" s="5" t="s">
        <v>149</v>
      </c>
      <c r="P1" s="5" t="s">
        <v>147</v>
      </c>
      <c r="Q1" s="5" t="s">
        <v>148</v>
      </c>
      <c r="R1" s="5" t="s">
        <v>188</v>
      </c>
      <c r="S1" s="5" t="s">
        <v>189</v>
      </c>
      <c r="T1" s="5" t="s">
        <v>191</v>
      </c>
      <c r="U1" s="9" t="s">
        <v>151</v>
      </c>
      <c r="V1" s="5" t="s">
        <v>11</v>
      </c>
      <c r="W1" s="5" t="s">
        <v>221</v>
      </c>
    </row>
    <row r="2" spans="1:23" x14ac:dyDescent="0.2">
      <c r="A2">
        <v>2029</v>
      </c>
      <c r="B2" t="s">
        <v>12</v>
      </c>
      <c r="C2" t="s">
        <v>222</v>
      </c>
      <c r="D2">
        <v>2023</v>
      </c>
      <c r="E2" s="2" t="s">
        <v>13</v>
      </c>
      <c r="F2" t="s">
        <v>14</v>
      </c>
      <c r="G2" t="s">
        <v>14</v>
      </c>
      <c r="H2" t="s">
        <v>15</v>
      </c>
      <c r="I2" t="s">
        <v>16</v>
      </c>
      <c r="J2" s="5" t="s">
        <v>17</v>
      </c>
      <c r="K2" s="5" t="s">
        <v>17</v>
      </c>
      <c r="L2" s="12" t="s">
        <v>155</v>
      </c>
      <c r="M2" s="12" t="s">
        <v>170</v>
      </c>
      <c r="N2" s="12" t="s">
        <v>164</v>
      </c>
      <c r="O2" s="11" t="s">
        <v>154</v>
      </c>
      <c r="P2" s="11">
        <v>26</v>
      </c>
      <c r="Q2" s="11">
        <f>P2*(0.035/70)^0.25</f>
        <v>3.8879068311751741</v>
      </c>
      <c r="R2" s="11">
        <v>1</v>
      </c>
      <c r="S2" s="11">
        <v>1</v>
      </c>
      <c r="T2" s="11">
        <v>1</v>
      </c>
      <c r="U2" s="12" t="s">
        <v>223</v>
      </c>
      <c r="V2" s="5"/>
    </row>
    <row r="3" spans="1:23" x14ac:dyDescent="0.2">
      <c r="A3">
        <v>1562</v>
      </c>
      <c r="B3" t="s">
        <v>18</v>
      </c>
      <c r="C3" t="s">
        <v>19</v>
      </c>
      <c r="D3">
        <v>2020</v>
      </c>
      <c r="E3" t="s">
        <v>20</v>
      </c>
      <c r="F3" t="s">
        <v>14</v>
      </c>
      <c r="G3" t="s">
        <v>14</v>
      </c>
      <c r="H3" t="s">
        <v>21</v>
      </c>
      <c r="I3" t="s">
        <v>16</v>
      </c>
      <c r="J3" s="5" t="s">
        <v>17</v>
      </c>
      <c r="K3" s="5" t="s">
        <v>17</v>
      </c>
      <c r="L3" s="12" t="s">
        <v>145</v>
      </c>
      <c r="M3" s="12" t="s">
        <v>171</v>
      </c>
      <c r="N3" s="12" t="s">
        <v>159</v>
      </c>
      <c r="O3" s="11" t="s">
        <v>172</v>
      </c>
      <c r="P3" s="11">
        <v>0.5</v>
      </c>
      <c r="Q3" s="11">
        <v>0.3</v>
      </c>
      <c r="R3" s="11">
        <v>3</v>
      </c>
      <c r="S3" s="11">
        <v>3</v>
      </c>
      <c r="T3" s="11">
        <v>10</v>
      </c>
      <c r="U3" s="12" t="s">
        <v>156</v>
      </c>
      <c r="V3" s="5"/>
    </row>
    <row r="4" spans="1:23" x14ac:dyDescent="0.2">
      <c r="A4">
        <v>1563</v>
      </c>
      <c r="B4" t="s">
        <v>22</v>
      </c>
      <c r="C4" t="s">
        <v>23</v>
      </c>
      <c r="D4">
        <v>2020</v>
      </c>
      <c r="E4" t="s">
        <v>24</v>
      </c>
      <c r="F4" t="s">
        <v>14</v>
      </c>
      <c r="G4" t="s">
        <v>14</v>
      </c>
      <c r="H4" t="s">
        <v>21</v>
      </c>
      <c r="I4" t="s">
        <v>16</v>
      </c>
      <c r="J4" s="5" t="s">
        <v>17</v>
      </c>
      <c r="K4" s="5" t="s">
        <v>17</v>
      </c>
      <c r="L4" s="12" t="s">
        <v>145</v>
      </c>
      <c r="M4" s="12" t="s">
        <v>171</v>
      </c>
      <c r="N4" s="12" t="s">
        <v>159</v>
      </c>
      <c r="O4" s="11" t="s">
        <v>172</v>
      </c>
      <c r="P4" s="11">
        <v>0.5</v>
      </c>
      <c r="Q4" s="11">
        <v>0.3</v>
      </c>
      <c r="R4" s="11">
        <v>3</v>
      </c>
      <c r="S4" s="11">
        <v>3</v>
      </c>
      <c r="T4" s="11">
        <v>10</v>
      </c>
      <c r="U4" s="12" t="s">
        <v>156</v>
      </c>
      <c r="V4" s="5"/>
    </row>
    <row r="5" spans="1:23" x14ac:dyDescent="0.2">
      <c r="A5">
        <v>2010</v>
      </c>
      <c r="B5" t="s">
        <v>25</v>
      </c>
      <c r="C5" t="s">
        <v>26</v>
      </c>
      <c r="D5">
        <v>2020</v>
      </c>
      <c r="E5" t="s">
        <v>27</v>
      </c>
      <c r="F5" t="s">
        <v>14</v>
      </c>
      <c r="G5" t="s">
        <v>14</v>
      </c>
      <c r="H5" t="s">
        <v>28</v>
      </c>
      <c r="I5" t="s">
        <v>16</v>
      </c>
      <c r="J5" s="5" t="s">
        <v>17</v>
      </c>
      <c r="K5" s="5" t="s">
        <v>17</v>
      </c>
      <c r="L5" s="12" t="s">
        <v>155</v>
      </c>
      <c r="M5" s="12" t="s">
        <v>173</v>
      </c>
      <c r="N5" s="12" t="s">
        <v>159</v>
      </c>
      <c r="O5" s="11" t="s">
        <v>150</v>
      </c>
      <c r="P5" s="11">
        <v>2.68</v>
      </c>
      <c r="Q5" s="11">
        <v>0.64300000000000002</v>
      </c>
      <c r="R5" s="11">
        <v>1</v>
      </c>
      <c r="S5" s="11">
        <v>1</v>
      </c>
      <c r="T5" s="11">
        <v>10</v>
      </c>
      <c r="U5" s="12" t="s">
        <v>156</v>
      </c>
      <c r="V5" s="5"/>
    </row>
    <row r="6" spans="1:23" x14ac:dyDescent="0.2">
      <c r="A6" s="3">
        <v>2025</v>
      </c>
      <c r="B6" s="3" t="s">
        <v>29</v>
      </c>
      <c r="C6" s="3" t="s">
        <v>30</v>
      </c>
      <c r="D6" s="3">
        <v>2021</v>
      </c>
      <c r="E6" s="3" t="s">
        <v>31</v>
      </c>
      <c r="F6" s="3" t="s">
        <v>14</v>
      </c>
      <c r="G6" s="3" t="s">
        <v>32</v>
      </c>
      <c r="H6" s="3" t="s">
        <v>33</v>
      </c>
      <c r="I6" s="3" t="s">
        <v>16</v>
      </c>
      <c r="J6" s="6" t="s">
        <v>17</v>
      </c>
      <c r="K6" s="6" t="s">
        <v>17</v>
      </c>
      <c r="L6" s="14" t="s">
        <v>153</v>
      </c>
      <c r="M6" s="14" t="s">
        <v>170</v>
      </c>
      <c r="N6" s="14" t="s">
        <v>164</v>
      </c>
      <c r="O6" s="13" t="s">
        <v>150</v>
      </c>
      <c r="P6" s="13">
        <v>9.1999999999999998E-2</v>
      </c>
      <c r="Q6" s="13">
        <f>P6*(0.25/70)^0.25</f>
        <v>2.2490459032005448E-2</v>
      </c>
      <c r="R6" s="13">
        <v>1</v>
      </c>
      <c r="S6" s="13">
        <v>1</v>
      </c>
      <c r="T6" s="13">
        <v>10</v>
      </c>
      <c r="U6" s="14"/>
      <c r="V6" s="6" t="s">
        <v>17</v>
      </c>
    </row>
    <row r="7" spans="1:23" x14ac:dyDescent="0.2">
      <c r="A7">
        <v>2045</v>
      </c>
      <c r="B7" t="s">
        <v>34</v>
      </c>
      <c r="C7" t="s">
        <v>35</v>
      </c>
      <c r="D7">
        <v>2024</v>
      </c>
      <c r="E7" t="s">
        <v>36</v>
      </c>
      <c r="F7" t="s">
        <v>14</v>
      </c>
      <c r="G7" t="s">
        <v>14</v>
      </c>
      <c r="H7" t="s">
        <v>37</v>
      </c>
      <c r="I7" t="s">
        <v>16</v>
      </c>
      <c r="J7" s="5" t="s">
        <v>17</v>
      </c>
      <c r="K7" s="5" t="s">
        <v>17</v>
      </c>
      <c r="L7" s="12" t="s">
        <v>155</v>
      </c>
      <c r="M7" s="12" t="s">
        <v>165</v>
      </c>
      <c r="N7" s="12" t="s">
        <v>159</v>
      </c>
      <c r="O7" s="11" t="s">
        <v>154</v>
      </c>
      <c r="P7" s="11">
        <v>125</v>
      </c>
      <c r="Q7" s="11">
        <v>16.3</v>
      </c>
      <c r="R7" s="11">
        <v>1</v>
      </c>
      <c r="S7" s="11">
        <v>10</v>
      </c>
      <c r="T7" s="11">
        <v>10</v>
      </c>
      <c r="U7" s="12" t="s">
        <v>156</v>
      </c>
      <c r="V7" s="5"/>
    </row>
    <row r="8" spans="1:23" x14ac:dyDescent="0.2">
      <c r="A8" s="3">
        <v>1599</v>
      </c>
      <c r="B8" s="3" t="s">
        <v>38</v>
      </c>
      <c r="C8" s="3" t="s">
        <v>39</v>
      </c>
      <c r="D8" s="3">
        <v>2021</v>
      </c>
      <c r="E8" s="3" t="s">
        <v>40</v>
      </c>
      <c r="F8" s="3" t="s">
        <v>14</v>
      </c>
      <c r="G8" s="3" t="s">
        <v>41</v>
      </c>
      <c r="H8" s="3" t="s">
        <v>21</v>
      </c>
      <c r="I8" s="3" t="s">
        <v>16</v>
      </c>
      <c r="J8" s="6" t="s">
        <v>17</v>
      </c>
      <c r="K8" s="6" t="s">
        <v>17</v>
      </c>
      <c r="L8" s="14" t="s">
        <v>155</v>
      </c>
      <c r="M8" s="14" t="s">
        <v>175</v>
      </c>
      <c r="N8" s="14" t="s">
        <v>164</v>
      </c>
      <c r="O8" s="13" t="s">
        <v>174</v>
      </c>
      <c r="P8" s="13">
        <v>0.7</v>
      </c>
      <c r="Q8" s="13">
        <v>0.3</v>
      </c>
      <c r="R8" s="13">
        <v>1</v>
      </c>
      <c r="S8" s="13">
        <v>10</v>
      </c>
      <c r="T8" s="13">
        <v>10</v>
      </c>
      <c r="U8" s="14" t="s">
        <v>156</v>
      </c>
      <c r="V8" s="6" t="s">
        <v>17</v>
      </c>
    </row>
    <row r="9" spans="1:23" x14ac:dyDescent="0.2">
      <c r="A9">
        <v>1600</v>
      </c>
      <c r="B9" t="s">
        <v>42</v>
      </c>
      <c r="C9" t="s">
        <v>43</v>
      </c>
      <c r="D9">
        <v>2017</v>
      </c>
      <c r="E9" t="s">
        <v>44</v>
      </c>
      <c r="F9" t="s">
        <v>14</v>
      </c>
      <c r="G9" t="s">
        <v>14</v>
      </c>
      <c r="H9" t="s">
        <v>14</v>
      </c>
      <c r="I9" t="s">
        <v>16</v>
      </c>
      <c r="J9" s="5" t="s">
        <v>17</v>
      </c>
      <c r="K9" s="5" t="s">
        <v>17</v>
      </c>
      <c r="L9" s="12" t="s">
        <v>155</v>
      </c>
      <c r="M9" s="12" t="s">
        <v>161</v>
      </c>
      <c r="N9" s="12" t="s">
        <v>159</v>
      </c>
      <c r="O9" s="11" t="s">
        <v>150</v>
      </c>
      <c r="P9" s="11">
        <v>5</v>
      </c>
      <c r="Q9" s="11">
        <v>1</v>
      </c>
      <c r="R9" s="11">
        <v>1</v>
      </c>
      <c r="S9" s="11">
        <v>10</v>
      </c>
      <c r="T9" s="11">
        <v>10</v>
      </c>
      <c r="U9" s="12" t="s">
        <v>156</v>
      </c>
      <c r="V9" s="5" t="s">
        <v>17</v>
      </c>
    </row>
    <row r="10" spans="1:23" x14ac:dyDescent="0.2">
      <c r="A10">
        <v>1608</v>
      </c>
      <c r="B10" t="s">
        <v>45</v>
      </c>
      <c r="C10" t="s">
        <v>46</v>
      </c>
      <c r="D10">
        <v>2017</v>
      </c>
      <c r="E10" t="s">
        <v>47</v>
      </c>
      <c r="F10" t="s">
        <v>14</v>
      </c>
      <c r="G10" t="s">
        <v>14</v>
      </c>
      <c r="H10" t="s">
        <v>14</v>
      </c>
      <c r="I10" t="s">
        <v>16</v>
      </c>
      <c r="J10" s="5" t="s">
        <v>17</v>
      </c>
      <c r="K10" s="5" t="s">
        <v>17</v>
      </c>
      <c r="L10" s="12" t="s">
        <v>155</v>
      </c>
      <c r="M10" s="12" t="s">
        <v>161</v>
      </c>
      <c r="N10" s="12" t="s">
        <v>159</v>
      </c>
      <c r="O10" s="11" t="s">
        <v>150</v>
      </c>
      <c r="P10" s="11">
        <v>5</v>
      </c>
      <c r="Q10" s="11">
        <v>1</v>
      </c>
      <c r="R10" s="11">
        <v>1</v>
      </c>
      <c r="S10" s="11">
        <v>10</v>
      </c>
      <c r="T10" s="11">
        <v>10</v>
      </c>
      <c r="U10" s="12" t="s">
        <v>156</v>
      </c>
      <c r="V10" s="5" t="s">
        <v>17</v>
      </c>
    </row>
    <row r="11" spans="1:23" x14ac:dyDescent="0.2">
      <c r="A11">
        <v>1612</v>
      </c>
      <c r="B11" t="s">
        <v>48</v>
      </c>
      <c r="C11" t="s">
        <v>49</v>
      </c>
      <c r="D11">
        <v>2017</v>
      </c>
      <c r="E11" t="s">
        <v>50</v>
      </c>
      <c r="F11" t="s">
        <v>14</v>
      </c>
      <c r="G11" t="s">
        <v>14</v>
      </c>
      <c r="H11" t="s">
        <v>14</v>
      </c>
      <c r="I11" t="s">
        <v>16</v>
      </c>
      <c r="J11" s="5" t="s">
        <v>17</v>
      </c>
      <c r="K11" s="5" t="s">
        <v>17</v>
      </c>
      <c r="L11" s="12" t="s">
        <v>145</v>
      </c>
      <c r="M11" s="12" t="s">
        <v>166</v>
      </c>
      <c r="N11" s="12" t="s">
        <v>159</v>
      </c>
      <c r="O11" s="11" t="s">
        <v>150</v>
      </c>
      <c r="P11" s="11">
        <v>100</v>
      </c>
      <c r="Q11" s="11">
        <v>23</v>
      </c>
      <c r="R11" s="11">
        <v>10</v>
      </c>
      <c r="S11" s="11">
        <v>10</v>
      </c>
      <c r="T11" s="11">
        <v>10</v>
      </c>
      <c r="U11" s="12" t="s">
        <v>167</v>
      </c>
      <c r="V11" s="5"/>
    </row>
    <row r="12" spans="1:23" x14ac:dyDescent="0.2">
      <c r="A12">
        <v>1663</v>
      </c>
      <c r="B12" t="s">
        <v>51</v>
      </c>
      <c r="C12" t="s">
        <v>52</v>
      </c>
      <c r="D12">
        <v>2017</v>
      </c>
      <c r="E12" t="s">
        <v>53</v>
      </c>
      <c r="F12" t="s">
        <v>54</v>
      </c>
      <c r="G12" t="s">
        <v>14</v>
      </c>
      <c r="H12" t="s">
        <v>14</v>
      </c>
      <c r="I12" t="s">
        <v>55</v>
      </c>
      <c r="J12" s="5" t="s">
        <v>17</v>
      </c>
      <c r="K12" s="5" t="s">
        <v>17</v>
      </c>
      <c r="L12" s="12" t="s">
        <v>155</v>
      </c>
      <c r="M12" s="12" t="s">
        <v>168</v>
      </c>
      <c r="N12" s="12" t="s">
        <v>159</v>
      </c>
      <c r="O12" s="11" t="s">
        <v>150</v>
      </c>
      <c r="P12" s="11">
        <v>0.05</v>
      </c>
      <c r="Q12" s="11">
        <v>0.01</v>
      </c>
      <c r="R12" s="11">
        <v>1</v>
      </c>
      <c r="S12" s="11">
        <v>1</v>
      </c>
      <c r="T12" s="11">
        <v>10</v>
      </c>
      <c r="U12" s="12" t="s">
        <v>156</v>
      </c>
      <c r="V12" s="5"/>
    </row>
    <row r="13" spans="1:23" x14ac:dyDescent="0.2">
      <c r="A13">
        <v>1670</v>
      </c>
      <c r="B13" t="s">
        <v>56</v>
      </c>
      <c r="C13" t="s">
        <v>57</v>
      </c>
      <c r="D13">
        <v>2022</v>
      </c>
      <c r="E13" t="s">
        <v>58</v>
      </c>
      <c r="F13" t="s">
        <v>14</v>
      </c>
      <c r="G13" t="s">
        <v>14</v>
      </c>
      <c r="H13" t="s">
        <v>14</v>
      </c>
      <c r="I13" t="s">
        <v>16</v>
      </c>
      <c r="J13" s="5" t="s">
        <v>17</v>
      </c>
      <c r="K13" s="5"/>
      <c r="L13" s="12" t="s">
        <v>153</v>
      </c>
      <c r="M13" s="12" t="s">
        <v>176</v>
      </c>
      <c r="N13" s="12" t="s">
        <v>159</v>
      </c>
      <c r="O13" s="11" t="s">
        <v>150</v>
      </c>
      <c r="P13" s="11">
        <f>Q13*(70/0.25)^0.25</f>
        <v>4.2542484288044493</v>
      </c>
      <c r="Q13" s="11">
        <v>1.04</v>
      </c>
      <c r="R13" s="11">
        <v>1</v>
      </c>
      <c r="S13" s="11">
        <v>1</v>
      </c>
      <c r="T13" s="11">
        <v>10</v>
      </c>
      <c r="U13" s="12" t="s">
        <v>190</v>
      </c>
      <c r="V13" s="7" t="s">
        <v>17</v>
      </c>
      <c r="W13" t="s">
        <v>59</v>
      </c>
    </row>
    <row r="14" spans="1:23" x14ac:dyDescent="0.2">
      <c r="A14" s="3">
        <v>1684</v>
      </c>
      <c r="B14" s="3" t="s">
        <v>60</v>
      </c>
      <c r="C14" s="18" t="s">
        <v>61</v>
      </c>
      <c r="D14" s="3">
        <v>2022</v>
      </c>
      <c r="E14" s="3" t="s">
        <v>62</v>
      </c>
      <c r="F14" s="3" t="s">
        <v>63</v>
      </c>
      <c r="G14" s="3" t="s">
        <v>64</v>
      </c>
      <c r="H14" s="3" t="s">
        <v>65</v>
      </c>
      <c r="I14" s="3" t="s">
        <v>16</v>
      </c>
      <c r="J14" s="6" t="s">
        <v>17</v>
      </c>
      <c r="K14" s="6"/>
      <c r="L14" s="14"/>
      <c r="M14" s="14"/>
      <c r="N14" s="14"/>
      <c r="O14" s="13"/>
      <c r="P14" s="13"/>
      <c r="Q14" s="13"/>
      <c r="R14" s="13"/>
      <c r="S14" s="13"/>
      <c r="T14" s="13"/>
      <c r="U14" s="14" t="s">
        <v>169</v>
      </c>
      <c r="V14" s="6" t="s">
        <v>17</v>
      </c>
    </row>
    <row r="15" spans="1:23" x14ac:dyDescent="0.2">
      <c r="A15">
        <v>1700</v>
      </c>
      <c r="B15" t="s">
        <v>66</v>
      </c>
      <c r="C15" s="18" t="s">
        <v>67</v>
      </c>
      <c r="D15">
        <v>2017</v>
      </c>
      <c r="E15" t="s">
        <v>68</v>
      </c>
      <c r="F15" t="s">
        <v>14</v>
      </c>
      <c r="G15" t="s">
        <v>14</v>
      </c>
      <c r="H15" t="s">
        <v>14</v>
      </c>
      <c r="I15" t="s">
        <v>16</v>
      </c>
      <c r="J15" s="5" t="s">
        <v>17</v>
      </c>
      <c r="K15" s="5"/>
      <c r="L15" s="12"/>
      <c r="M15" s="12"/>
      <c r="N15" s="12"/>
      <c r="O15" s="11"/>
      <c r="P15" s="11"/>
      <c r="Q15" s="11"/>
      <c r="R15" s="11"/>
      <c r="S15" s="11"/>
      <c r="T15" s="11"/>
      <c r="U15" s="12" t="s">
        <v>169</v>
      </c>
      <c r="V15" s="5" t="s">
        <v>17</v>
      </c>
    </row>
    <row r="16" spans="1:23" x14ac:dyDescent="0.2">
      <c r="A16" s="3">
        <v>1718</v>
      </c>
      <c r="B16" s="3" t="s">
        <v>69</v>
      </c>
      <c r="C16" s="3" t="s">
        <v>70</v>
      </c>
      <c r="D16" s="3">
        <v>2021</v>
      </c>
      <c r="E16" s="3" t="s">
        <v>71</v>
      </c>
      <c r="F16" s="3" t="s">
        <v>14</v>
      </c>
      <c r="G16" s="3" t="s">
        <v>72</v>
      </c>
      <c r="H16" s="3" t="s">
        <v>73</v>
      </c>
      <c r="I16" s="3" t="s">
        <v>16</v>
      </c>
      <c r="J16" s="6" t="s">
        <v>17</v>
      </c>
      <c r="K16" s="6" t="s">
        <v>17</v>
      </c>
      <c r="L16" s="14" t="s">
        <v>153</v>
      </c>
      <c r="M16" s="14" t="s">
        <v>173</v>
      </c>
      <c r="N16" s="14" t="s">
        <v>159</v>
      </c>
      <c r="O16" s="13" t="s">
        <v>150</v>
      </c>
      <c r="P16" s="13">
        <v>0.37</v>
      </c>
      <c r="Q16" s="13">
        <v>0.11</v>
      </c>
      <c r="R16" s="13">
        <v>1</v>
      </c>
      <c r="S16" s="13">
        <v>1</v>
      </c>
      <c r="T16" s="13">
        <v>10</v>
      </c>
      <c r="U16" s="14" t="s">
        <v>156</v>
      </c>
      <c r="V16" s="6" t="s">
        <v>17</v>
      </c>
    </row>
    <row r="17" spans="1:23" x14ac:dyDescent="0.2">
      <c r="A17">
        <v>1759</v>
      </c>
      <c r="B17" t="s">
        <v>74</v>
      </c>
      <c r="C17" s="18" t="s">
        <v>75</v>
      </c>
      <c r="D17">
        <v>2017</v>
      </c>
      <c r="E17" t="s">
        <v>76</v>
      </c>
      <c r="F17" t="s">
        <v>14</v>
      </c>
      <c r="G17" t="s">
        <v>14</v>
      </c>
      <c r="H17" t="s">
        <v>14</v>
      </c>
      <c r="I17" t="s">
        <v>16</v>
      </c>
      <c r="J17" s="5" t="s">
        <v>17</v>
      </c>
      <c r="K17" s="5"/>
      <c r="L17" s="12"/>
      <c r="M17" s="12"/>
      <c r="N17" s="12"/>
      <c r="O17" s="11"/>
      <c r="P17" s="11"/>
      <c r="Q17" s="11"/>
      <c r="R17" s="11"/>
      <c r="S17" s="11"/>
      <c r="T17" s="11"/>
      <c r="U17" s="12" t="s">
        <v>181</v>
      </c>
      <c r="V17" s="5" t="s">
        <v>17</v>
      </c>
    </row>
    <row r="18" spans="1:23" x14ac:dyDescent="0.2">
      <c r="A18">
        <v>2043</v>
      </c>
      <c r="B18" t="s">
        <v>77</v>
      </c>
      <c r="C18" t="s">
        <v>78</v>
      </c>
      <c r="D18">
        <v>2024</v>
      </c>
      <c r="E18" t="s">
        <v>79</v>
      </c>
      <c r="F18" t="s">
        <v>80</v>
      </c>
      <c r="G18" t="s">
        <v>14</v>
      </c>
      <c r="H18" t="s">
        <v>81</v>
      </c>
      <c r="I18" t="s">
        <v>82</v>
      </c>
      <c r="J18" s="5" t="s">
        <v>17</v>
      </c>
      <c r="K18" s="5" t="s">
        <v>17</v>
      </c>
      <c r="L18" s="12" t="s">
        <v>155</v>
      </c>
      <c r="M18" s="12" t="s">
        <v>177</v>
      </c>
      <c r="N18" s="12" t="s">
        <v>164</v>
      </c>
      <c r="O18" s="11" t="s">
        <v>150</v>
      </c>
      <c r="P18" s="11">
        <v>7.6000000000000004E-5</v>
      </c>
      <c r="Q18" s="11">
        <v>1.7E-5</v>
      </c>
      <c r="R18" s="11">
        <v>1</v>
      </c>
      <c r="S18" s="11">
        <v>1</v>
      </c>
      <c r="T18" s="11">
        <v>10</v>
      </c>
      <c r="U18" s="12" t="s">
        <v>156</v>
      </c>
      <c r="V18" s="5"/>
    </row>
    <row r="19" spans="1:23" x14ac:dyDescent="0.2">
      <c r="A19">
        <v>1793</v>
      </c>
      <c r="B19" t="s">
        <v>83</v>
      </c>
      <c r="C19" s="18" t="s">
        <v>84</v>
      </c>
      <c r="D19">
        <v>2017</v>
      </c>
      <c r="E19" t="s">
        <v>85</v>
      </c>
      <c r="F19" t="s">
        <v>14</v>
      </c>
      <c r="G19" t="s">
        <v>14</v>
      </c>
      <c r="H19" t="s">
        <v>14</v>
      </c>
      <c r="I19" t="s">
        <v>16</v>
      </c>
      <c r="J19" s="5" t="s">
        <v>17</v>
      </c>
      <c r="K19" s="5"/>
      <c r="L19" s="12"/>
      <c r="M19" s="12"/>
      <c r="N19" s="12"/>
      <c r="O19" s="11"/>
      <c r="P19" s="11"/>
      <c r="Q19" s="11"/>
      <c r="R19" s="11"/>
      <c r="S19" s="11"/>
      <c r="T19" s="11"/>
      <c r="U19" s="12" t="s">
        <v>169</v>
      </c>
      <c r="V19" s="5" t="s">
        <v>17</v>
      </c>
    </row>
    <row r="20" spans="1:23" x14ac:dyDescent="0.2">
      <c r="A20" s="3">
        <v>2007</v>
      </c>
      <c r="B20" s="3" t="s">
        <v>86</v>
      </c>
      <c r="C20" s="3" t="s">
        <v>87</v>
      </c>
      <c r="D20" s="3">
        <v>2020</v>
      </c>
      <c r="E20" s="3" t="s">
        <v>88</v>
      </c>
      <c r="F20" s="3" t="s">
        <v>14</v>
      </c>
      <c r="G20" s="3" t="s">
        <v>14</v>
      </c>
      <c r="H20" s="3" t="s">
        <v>21</v>
      </c>
      <c r="I20" s="3" t="s">
        <v>16</v>
      </c>
      <c r="J20" s="6" t="s">
        <v>17</v>
      </c>
      <c r="K20" s="6" t="s">
        <v>17</v>
      </c>
      <c r="L20" s="14" t="s">
        <v>155</v>
      </c>
      <c r="M20" s="14" t="s">
        <v>178</v>
      </c>
      <c r="N20" s="14" t="s">
        <v>159</v>
      </c>
      <c r="O20" s="13" t="s">
        <v>150</v>
      </c>
      <c r="P20" s="13">
        <v>1.2</v>
      </c>
      <c r="Q20" s="13">
        <v>0.28999999999999998</v>
      </c>
      <c r="R20" s="13">
        <v>1</v>
      </c>
      <c r="S20" s="13">
        <v>10</v>
      </c>
      <c r="T20" s="13">
        <v>10</v>
      </c>
      <c r="U20" s="14" t="s">
        <v>156</v>
      </c>
      <c r="V20" s="6"/>
    </row>
    <row r="21" spans="1:23" x14ac:dyDescent="0.2">
      <c r="A21" s="3">
        <v>1845</v>
      </c>
      <c r="B21" s="3" t="s">
        <v>89</v>
      </c>
      <c r="C21" s="3" t="s">
        <v>90</v>
      </c>
      <c r="D21" s="3">
        <v>2023</v>
      </c>
      <c r="E21" s="3" t="s">
        <v>91</v>
      </c>
      <c r="F21" s="3" t="s">
        <v>14</v>
      </c>
      <c r="G21" s="3" t="s">
        <v>32</v>
      </c>
      <c r="H21" s="3" t="s">
        <v>33</v>
      </c>
      <c r="I21" s="3" t="s">
        <v>16</v>
      </c>
      <c r="J21" s="6" t="s">
        <v>17</v>
      </c>
      <c r="K21" s="6" t="s">
        <v>17</v>
      </c>
      <c r="L21" s="14" t="s">
        <v>153</v>
      </c>
      <c r="M21" s="14" t="s">
        <v>170</v>
      </c>
      <c r="N21" s="14" t="s">
        <v>164</v>
      </c>
      <c r="O21" s="13" t="s">
        <v>150</v>
      </c>
      <c r="P21" s="13">
        <v>9.1999999999999998E-2</v>
      </c>
      <c r="Q21" s="13">
        <f>P21*(0.25/70)^0.25</f>
        <v>2.2490459032005448E-2</v>
      </c>
      <c r="R21" s="13">
        <v>1</v>
      </c>
      <c r="S21" s="13">
        <v>1</v>
      </c>
      <c r="T21" s="13">
        <v>10</v>
      </c>
      <c r="U21" s="14"/>
      <c r="V21" s="6" t="s">
        <v>17</v>
      </c>
    </row>
    <row r="22" spans="1:23" x14ac:dyDescent="0.2">
      <c r="A22">
        <v>2028</v>
      </c>
      <c r="B22" t="s">
        <v>92</v>
      </c>
      <c r="C22" s="19" t="s">
        <v>93</v>
      </c>
      <c r="D22">
        <v>2023</v>
      </c>
      <c r="E22" s="17" t="s">
        <v>179</v>
      </c>
      <c r="F22" t="s">
        <v>14</v>
      </c>
      <c r="G22" t="s">
        <v>14</v>
      </c>
      <c r="H22" t="s">
        <v>14</v>
      </c>
      <c r="I22" t="s">
        <v>16</v>
      </c>
      <c r="J22" s="5" t="s">
        <v>17</v>
      </c>
      <c r="K22" s="7" t="s">
        <v>17</v>
      </c>
      <c r="L22" s="16"/>
      <c r="M22" s="16"/>
      <c r="N22" s="16"/>
      <c r="O22" s="15"/>
      <c r="P22" s="15"/>
      <c r="Q22" s="15"/>
      <c r="R22" s="15"/>
      <c r="S22" s="15"/>
      <c r="T22" s="15"/>
      <c r="U22" s="16" t="s">
        <v>181</v>
      </c>
      <c r="V22" s="7" t="s">
        <v>17</v>
      </c>
      <c r="W22" t="s">
        <v>59</v>
      </c>
    </row>
    <row r="23" spans="1:23" x14ac:dyDescent="0.2">
      <c r="A23">
        <v>2041</v>
      </c>
      <c r="B23" t="s">
        <v>94</v>
      </c>
      <c r="C23" s="19" t="s">
        <v>95</v>
      </c>
      <c r="D23">
        <v>2024</v>
      </c>
      <c r="E23" t="s">
        <v>180</v>
      </c>
      <c r="F23" t="s">
        <v>14</v>
      </c>
      <c r="G23" t="s">
        <v>14</v>
      </c>
      <c r="H23" t="s">
        <v>14</v>
      </c>
      <c r="I23" t="s">
        <v>16</v>
      </c>
      <c r="J23" s="5" t="s">
        <v>17</v>
      </c>
      <c r="K23" s="7" t="s">
        <v>17</v>
      </c>
      <c r="L23" s="16"/>
      <c r="M23" s="16"/>
      <c r="N23" s="16"/>
      <c r="O23" s="15"/>
      <c r="P23" s="15"/>
      <c r="Q23" s="15"/>
      <c r="R23" s="15"/>
      <c r="S23" s="15"/>
      <c r="T23" s="15"/>
      <c r="U23" s="16" t="s">
        <v>181</v>
      </c>
      <c r="V23" s="7" t="s">
        <v>17</v>
      </c>
      <c r="W23" t="s">
        <v>59</v>
      </c>
    </row>
    <row r="24" spans="1:23" x14ac:dyDescent="0.2">
      <c r="A24">
        <v>1857</v>
      </c>
      <c r="B24" t="s">
        <v>96</v>
      </c>
      <c r="C24" t="s">
        <v>97</v>
      </c>
      <c r="D24">
        <v>2020</v>
      </c>
      <c r="E24" t="s">
        <v>98</v>
      </c>
      <c r="F24" t="s">
        <v>14</v>
      </c>
      <c r="G24" t="s">
        <v>14</v>
      </c>
      <c r="H24" t="s">
        <v>28</v>
      </c>
      <c r="I24" t="s">
        <v>16</v>
      </c>
      <c r="J24" s="5" t="s">
        <v>17</v>
      </c>
      <c r="K24" s="5" t="s">
        <v>17</v>
      </c>
      <c r="L24" s="12" t="s">
        <v>155</v>
      </c>
      <c r="M24" s="12" t="s">
        <v>173</v>
      </c>
      <c r="N24" s="12" t="s">
        <v>159</v>
      </c>
      <c r="O24" s="11" t="s">
        <v>150</v>
      </c>
      <c r="P24" s="11">
        <v>2.68</v>
      </c>
      <c r="Q24" s="11">
        <v>0.64300000000000002</v>
      </c>
      <c r="R24" s="11">
        <v>1</v>
      </c>
      <c r="S24" s="11">
        <v>1</v>
      </c>
      <c r="T24" s="11">
        <v>10</v>
      </c>
      <c r="U24" s="12" t="s">
        <v>156</v>
      </c>
      <c r="V24" s="5"/>
    </row>
    <row r="25" spans="1:23" x14ac:dyDescent="0.2">
      <c r="A25">
        <v>2008</v>
      </c>
      <c r="B25" t="s">
        <v>99</v>
      </c>
      <c r="C25" t="s">
        <v>100</v>
      </c>
      <c r="D25">
        <v>2020</v>
      </c>
      <c r="E25" t="s">
        <v>101</v>
      </c>
      <c r="F25" t="s">
        <v>14</v>
      </c>
      <c r="G25" t="s">
        <v>14</v>
      </c>
      <c r="H25" t="s">
        <v>21</v>
      </c>
      <c r="I25" t="s">
        <v>16</v>
      </c>
      <c r="J25" s="5" t="s">
        <v>17</v>
      </c>
      <c r="K25" s="5" t="s">
        <v>17</v>
      </c>
      <c r="L25" s="12" t="s">
        <v>155</v>
      </c>
      <c r="M25" s="12" t="s">
        <v>178</v>
      </c>
      <c r="N25" s="12" t="s">
        <v>159</v>
      </c>
      <c r="O25" s="11" t="s">
        <v>150</v>
      </c>
      <c r="P25" s="11">
        <v>1.2</v>
      </c>
      <c r="Q25" s="11">
        <v>0.28999999999999998</v>
      </c>
      <c r="R25" s="11">
        <v>1</v>
      </c>
      <c r="S25" s="11">
        <v>10</v>
      </c>
      <c r="T25" s="11">
        <v>10</v>
      </c>
      <c r="U25" s="12" t="s">
        <v>156</v>
      </c>
      <c r="V25" s="5"/>
    </row>
    <row r="26" spans="1:23" x14ac:dyDescent="0.2">
      <c r="A26" s="3">
        <v>1915</v>
      </c>
      <c r="B26" s="3" t="s">
        <v>102</v>
      </c>
      <c r="C26" s="3" t="s">
        <v>103</v>
      </c>
      <c r="D26" s="3">
        <v>2021</v>
      </c>
      <c r="E26" s="3" t="s">
        <v>104</v>
      </c>
      <c r="F26" s="3" t="s">
        <v>14</v>
      </c>
      <c r="G26" s="3" t="s">
        <v>14</v>
      </c>
      <c r="H26" s="3" t="s">
        <v>21</v>
      </c>
      <c r="I26" s="3" t="s">
        <v>16</v>
      </c>
      <c r="J26" s="6" t="s">
        <v>17</v>
      </c>
      <c r="K26" s="6" t="s">
        <v>17</v>
      </c>
      <c r="L26" s="14" t="s">
        <v>155</v>
      </c>
      <c r="M26" s="14" t="s">
        <v>160</v>
      </c>
      <c r="N26" s="14" t="s">
        <v>159</v>
      </c>
      <c r="O26" s="13" t="s">
        <v>150</v>
      </c>
      <c r="P26" s="13">
        <v>1.4</v>
      </c>
      <c r="Q26" s="13">
        <v>0.32</v>
      </c>
      <c r="R26" s="13">
        <v>1</v>
      </c>
      <c r="S26" s="13">
        <v>10</v>
      </c>
      <c r="T26" s="13">
        <v>10</v>
      </c>
      <c r="U26" s="14" t="s">
        <v>156</v>
      </c>
      <c r="V26" s="6"/>
    </row>
    <row r="27" spans="1:23" x14ac:dyDescent="0.2">
      <c r="A27" s="3">
        <v>1917</v>
      </c>
      <c r="B27" s="3" t="s">
        <v>105</v>
      </c>
      <c r="C27" s="3" t="s">
        <v>106</v>
      </c>
      <c r="D27" s="3">
        <v>2021</v>
      </c>
      <c r="E27" s="3" t="s">
        <v>107</v>
      </c>
      <c r="F27" s="3" t="s">
        <v>14</v>
      </c>
      <c r="G27" s="3" t="s">
        <v>14</v>
      </c>
      <c r="H27" s="3" t="s">
        <v>21</v>
      </c>
      <c r="I27" s="3" t="s">
        <v>16</v>
      </c>
      <c r="J27" s="6" t="s">
        <v>17</v>
      </c>
      <c r="K27" s="6" t="s">
        <v>17</v>
      </c>
      <c r="L27" s="14" t="s">
        <v>155</v>
      </c>
      <c r="M27" s="14" t="s">
        <v>160</v>
      </c>
      <c r="N27" s="14" t="s">
        <v>159</v>
      </c>
      <c r="O27" s="13" t="s">
        <v>150</v>
      </c>
      <c r="P27" s="13">
        <v>1.4</v>
      </c>
      <c r="Q27" s="13">
        <v>0.32</v>
      </c>
      <c r="R27" s="13">
        <v>1</v>
      </c>
      <c r="S27" s="13">
        <v>10</v>
      </c>
      <c r="T27" s="13">
        <v>10</v>
      </c>
      <c r="U27" s="14" t="s">
        <v>156</v>
      </c>
      <c r="V27" s="6"/>
    </row>
    <row r="28" spans="1:23" x14ac:dyDescent="0.2">
      <c r="A28">
        <v>1566</v>
      </c>
      <c r="B28" t="s">
        <v>108</v>
      </c>
      <c r="C28" t="s">
        <v>109</v>
      </c>
      <c r="D28">
        <v>2016</v>
      </c>
      <c r="E28" t="s">
        <v>110</v>
      </c>
      <c r="F28" t="s">
        <v>14</v>
      </c>
      <c r="G28" t="s">
        <v>14</v>
      </c>
      <c r="H28" t="s">
        <v>14</v>
      </c>
      <c r="I28" t="s">
        <v>16</v>
      </c>
      <c r="J28" s="5" t="s">
        <v>17</v>
      </c>
      <c r="K28" s="5" t="s">
        <v>17</v>
      </c>
      <c r="L28" s="12" t="s">
        <v>155</v>
      </c>
      <c r="M28" s="12" t="s">
        <v>182</v>
      </c>
      <c r="N28" s="12" t="s">
        <v>159</v>
      </c>
      <c r="O28" s="11" t="s">
        <v>150</v>
      </c>
      <c r="P28" s="11">
        <v>50</v>
      </c>
      <c r="Q28" s="11">
        <v>12</v>
      </c>
      <c r="R28" s="11">
        <v>1</v>
      </c>
      <c r="S28" s="11">
        <v>10</v>
      </c>
      <c r="T28" s="11">
        <v>10</v>
      </c>
      <c r="U28" s="12" t="s">
        <v>156</v>
      </c>
      <c r="V28" s="5"/>
    </row>
    <row r="29" spans="1:23" x14ac:dyDescent="0.2">
      <c r="A29">
        <v>1618</v>
      </c>
      <c r="B29" t="s">
        <v>111</v>
      </c>
      <c r="C29" t="s">
        <v>112</v>
      </c>
      <c r="D29">
        <v>2012</v>
      </c>
      <c r="E29" t="s">
        <v>113</v>
      </c>
      <c r="F29" t="s">
        <v>14</v>
      </c>
      <c r="G29" t="s">
        <v>14</v>
      </c>
      <c r="H29" t="s">
        <v>14</v>
      </c>
      <c r="I29" t="s">
        <v>16</v>
      </c>
      <c r="J29" s="5" t="s">
        <v>17</v>
      </c>
      <c r="K29" s="5" t="s">
        <v>17</v>
      </c>
      <c r="L29" s="12" t="s">
        <v>155</v>
      </c>
      <c r="M29" s="12" t="s">
        <v>183</v>
      </c>
      <c r="N29" s="12" t="s">
        <v>159</v>
      </c>
      <c r="O29" s="11" t="s">
        <v>150</v>
      </c>
      <c r="P29" s="11">
        <v>110</v>
      </c>
      <c r="Q29" s="11">
        <f>P29*(0.25/70)^0.25</f>
        <v>26.890766233919557</v>
      </c>
      <c r="R29" s="11">
        <v>1</v>
      </c>
      <c r="S29" s="11">
        <v>3</v>
      </c>
      <c r="T29" s="11">
        <v>3</v>
      </c>
      <c r="U29" s="12" t="s">
        <v>152</v>
      </c>
      <c r="V29" s="5"/>
    </row>
    <row r="30" spans="1:23" x14ac:dyDescent="0.2">
      <c r="A30">
        <v>1617</v>
      </c>
      <c r="B30" t="s">
        <v>114</v>
      </c>
      <c r="C30" t="s">
        <v>115</v>
      </c>
      <c r="D30">
        <v>2012</v>
      </c>
      <c r="E30" t="s">
        <v>116</v>
      </c>
      <c r="F30" t="s">
        <v>14</v>
      </c>
      <c r="G30" t="s">
        <v>14</v>
      </c>
      <c r="H30" t="s">
        <v>14</v>
      </c>
      <c r="I30" t="s">
        <v>16</v>
      </c>
      <c r="J30" s="5" t="s">
        <v>17</v>
      </c>
      <c r="K30" s="5" t="s">
        <v>17</v>
      </c>
      <c r="L30" s="12" t="s">
        <v>155</v>
      </c>
      <c r="M30" s="12" t="s">
        <v>183</v>
      </c>
      <c r="N30" s="12" t="s">
        <v>159</v>
      </c>
      <c r="O30" s="11" t="s">
        <v>150</v>
      </c>
      <c r="P30" s="11">
        <v>110</v>
      </c>
      <c r="Q30" s="11">
        <f>P30*(0.25/70)^0.25</f>
        <v>26.890766233919557</v>
      </c>
      <c r="R30" s="11">
        <v>1</v>
      </c>
      <c r="S30" s="11">
        <v>3</v>
      </c>
      <c r="T30" s="11">
        <v>3</v>
      </c>
      <c r="U30" s="12" t="s">
        <v>152</v>
      </c>
      <c r="V30" s="5"/>
    </row>
    <row r="31" spans="1:23" x14ac:dyDescent="0.2">
      <c r="A31">
        <v>1658</v>
      </c>
      <c r="B31" t="s">
        <v>117</v>
      </c>
      <c r="C31" s="18" t="s">
        <v>118</v>
      </c>
      <c r="D31">
        <v>2012</v>
      </c>
      <c r="E31" t="s">
        <v>119</v>
      </c>
      <c r="F31" t="s">
        <v>120</v>
      </c>
      <c r="G31" t="s">
        <v>14</v>
      </c>
      <c r="H31" t="s">
        <v>65</v>
      </c>
      <c r="I31" t="s">
        <v>14</v>
      </c>
      <c r="J31" s="5" t="s">
        <v>17</v>
      </c>
      <c r="K31" s="7" t="s">
        <v>17</v>
      </c>
      <c r="L31" s="16"/>
      <c r="M31" s="16"/>
      <c r="N31" s="16"/>
      <c r="O31" s="15"/>
      <c r="P31" s="15"/>
      <c r="Q31" s="15"/>
      <c r="R31" s="15"/>
      <c r="S31" s="15"/>
      <c r="T31" s="15"/>
      <c r="U31" s="16" t="s">
        <v>181</v>
      </c>
      <c r="V31" s="7" t="s">
        <v>17</v>
      </c>
      <c r="W31" t="s">
        <v>121</v>
      </c>
    </row>
    <row r="32" spans="1:23" x14ac:dyDescent="0.2">
      <c r="A32">
        <v>1672</v>
      </c>
      <c r="B32" t="s">
        <v>122</v>
      </c>
      <c r="C32" t="s">
        <v>123</v>
      </c>
      <c r="D32">
        <v>2014</v>
      </c>
      <c r="E32" t="s">
        <v>124</v>
      </c>
      <c r="F32" t="s">
        <v>14</v>
      </c>
      <c r="G32" t="s">
        <v>14</v>
      </c>
      <c r="H32" t="s">
        <v>14</v>
      </c>
      <c r="I32" t="s">
        <v>16</v>
      </c>
      <c r="J32" s="5" t="s">
        <v>17</v>
      </c>
      <c r="K32" s="5" t="s">
        <v>17</v>
      </c>
      <c r="L32" s="12" t="s">
        <v>155</v>
      </c>
      <c r="M32" s="12" t="s">
        <v>161</v>
      </c>
      <c r="N32" s="12" t="s">
        <v>159</v>
      </c>
      <c r="O32" s="11" t="s">
        <v>150</v>
      </c>
      <c r="P32" s="11">
        <v>5</v>
      </c>
      <c r="Q32" s="11">
        <v>1.2</v>
      </c>
      <c r="R32" s="11">
        <v>1</v>
      </c>
      <c r="S32" s="11">
        <v>10</v>
      </c>
      <c r="T32" s="11">
        <v>10</v>
      </c>
      <c r="U32" s="12" t="s">
        <v>156</v>
      </c>
      <c r="V32" s="5"/>
    </row>
    <row r="33" spans="1:23" x14ac:dyDescent="0.2">
      <c r="A33">
        <v>1760</v>
      </c>
      <c r="B33" t="s">
        <v>125</v>
      </c>
      <c r="C33" t="s">
        <v>126</v>
      </c>
      <c r="D33">
        <v>2016</v>
      </c>
      <c r="E33" t="s">
        <v>127</v>
      </c>
      <c r="F33" t="s">
        <v>128</v>
      </c>
      <c r="G33" t="s">
        <v>129</v>
      </c>
      <c r="H33" t="s">
        <v>14</v>
      </c>
      <c r="I33" t="s">
        <v>16</v>
      </c>
      <c r="J33" s="5" t="s">
        <v>17</v>
      </c>
      <c r="K33" s="5"/>
      <c r="L33" s="12" t="s">
        <v>153</v>
      </c>
      <c r="M33" s="12" t="s">
        <v>162</v>
      </c>
      <c r="N33" s="12" t="s">
        <v>159</v>
      </c>
      <c r="O33" s="11" t="s">
        <v>154</v>
      </c>
      <c r="P33" s="11">
        <v>3.13</v>
      </c>
      <c r="Q33" s="11">
        <f>P33*(0.035/70)^0.25</f>
        <v>0.46804416852224207</v>
      </c>
      <c r="R33" s="11">
        <v>1</v>
      </c>
      <c r="S33" s="11">
        <v>10</v>
      </c>
      <c r="T33" s="11">
        <v>10</v>
      </c>
      <c r="U33" s="12" t="s">
        <v>186</v>
      </c>
      <c r="V33" s="5" t="s">
        <v>17</v>
      </c>
    </row>
    <row r="34" spans="1:23" x14ac:dyDescent="0.2">
      <c r="A34">
        <v>1791</v>
      </c>
      <c r="B34" t="s">
        <v>130</v>
      </c>
      <c r="C34" t="s">
        <v>131</v>
      </c>
      <c r="D34">
        <v>2009</v>
      </c>
      <c r="E34" t="s">
        <v>132</v>
      </c>
      <c r="F34" t="s">
        <v>14</v>
      </c>
      <c r="G34" t="s">
        <v>14</v>
      </c>
      <c r="H34" t="s">
        <v>14</v>
      </c>
      <c r="I34" t="s">
        <v>16</v>
      </c>
      <c r="J34" s="5" t="s">
        <v>17</v>
      </c>
      <c r="K34" s="5" t="s">
        <v>17</v>
      </c>
      <c r="L34" s="12" t="s">
        <v>145</v>
      </c>
      <c r="M34" s="12" t="s">
        <v>163</v>
      </c>
      <c r="N34" s="12" t="s">
        <v>164</v>
      </c>
      <c r="O34" s="11" t="s">
        <v>150</v>
      </c>
      <c r="P34" s="11">
        <v>179</v>
      </c>
      <c r="Q34" s="11">
        <f>P34*(0.25/70)^0.25</f>
        <v>43.758610507923642</v>
      </c>
      <c r="R34" s="11">
        <v>10</v>
      </c>
      <c r="S34" s="11">
        <v>1</v>
      </c>
      <c r="T34" s="11">
        <v>3</v>
      </c>
      <c r="U34" s="12" t="s">
        <v>152</v>
      </c>
      <c r="V34" s="5"/>
    </row>
    <row r="35" spans="1:23" x14ac:dyDescent="0.2">
      <c r="A35">
        <v>1855</v>
      </c>
      <c r="B35" t="s">
        <v>133</v>
      </c>
      <c r="C35" t="s">
        <v>134</v>
      </c>
      <c r="D35">
        <v>2009</v>
      </c>
      <c r="E35" t="s">
        <v>135</v>
      </c>
      <c r="F35" t="s">
        <v>14</v>
      </c>
      <c r="G35" t="s">
        <v>14</v>
      </c>
      <c r="H35" t="s">
        <v>14</v>
      </c>
      <c r="I35" t="s">
        <v>16</v>
      </c>
      <c r="J35" s="5" t="s">
        <v>17</v>
      </c>
      <c r="K35" s="5" t="s">
        <v>17</v>
      </c>
      <c r="L35" s="12" t="s">
        <v>145</v>
      </c>
      <c r="M35" s="12" t="s">
        <v>184</v>
      </c>
      <c r="N35" s="12" t="s">
        <v>159</v>
      </c>
      <c r="O35" s="11" t="s">
        <v>185</v>
      </c>
      <c r="P35" s="11">
        <v>1.2</v>
      </c>
      <c r="Q35" s="11">
        <v>1.2</v>
      </c>
      <c r="R35" s="11">
        <v>10</v>
      </c>
      <c r="S35" s="11">
        <v>10</v>
      </c>
      <c r="T35" s="11">
        <v>10</v>
      </c>
      <c r="U35" s="12" t="s">
        <v>186</v>
      </c>
      <c r="V35" s="5"/>
    </row>
    <row r="36" spans="1:23" x14ac:dyDescent="0.2">
      <c r="A36">
        <v>1866</v>
      </c>
      <c r="B36" t="s">
        <v>136</v>
      </c>
      <c r="C36" t="s">
        <v>137</v>
      </c>
      <c r="D36">
        <v>2009</v>
      </c>
      <c r="E36" t="s">
        <v>138</v>
      </c>
      <c r="F36" t="s">
        <v>14</v>
      </c>
      <c r="G36" t="s">
        <v>14</v>
      </c>
      <c r="H36" t="s">
        <v>14</v>
      </c>
      <c r="I36" t="s">
        <v>16</v>
      </c>
      <c r="J36" s="5" t="s">
        <v>17</v>
      </c>
      <c r="K36" s="5" t="s">
        <v>17</v>
      </c>
      <c r="L36" s="12" t="s">
        <v>155</v>
      </c>
      <c r="M36" s="12" t="s">
        <v>187</v>
      </c>
      <c r="N36" s="12" t="s">
        <v>159</v>
      </c>
      <c r="O36" s="11" t="s">
        <v>150</v>
      </c>
      <c r="P36" s="11">
        <v>97.1</v>
      </c>
      <c r="Q36" s="11">
        <f>P36*(0.25/70)^0.25</f>
        <v>23.737212739214446</v>
      </c>
      <c r="R36" s="11">
        <v>1</v>
      </c>
      <c r="S36" s="11">
        <v>10</v>
      </c>
      <c r="T36" s="11">
        <v>1</v>
      </c>
      <c r="U36" s="12" t="s">
        <v>152</v>
      </c>
      <c r="V36" s="5" t="s">
        <v>17</v>
      </c>
    </row>
    <row r="37" spans="1:23" x14ac:dyDescent="0.2">
      <c r="A37">
        <v>1719</v>
      </c>
      <c r="B37" t="s">
        <v>198</v>
      </c>
      <c r="C37" t="s">
        <v>199</v>
      </c>
      <c r="D37">
        <v>2006</v>
      </c>
      <c r="E37" t="s">
        <v>192</v>
      </c>
      <c r="F37" t="s">
        <v>200</v>
      </c>
      <c r="G37" t="s">
        <v>14</v>
      </c>
      <c r="H37" t="s">
        <v>21</v>
      </c>
      <c r="I37" t="s">
        <v>16</v>
      </c>
      <c r="J37" s="5" t="s">
        <v>17</v>
      </c>
      <c r="K37" s="5" t="s">
        <v>17</v>
      </c>
      <c r="L37" s="12" t="s">
        <v>155</v>
      </c>
      <c r="M37" s="10" t="s">
        <v>215</v>
      </c>
      <c r="N37" s="10" t="s">
        <v>159</v>
      </c>
      <c r="O37" s="1" t="s">
        <v>150</v>
      </c>
      <c r="P37" s="1">
        <v>0.4</v>
      </c>
      <c r="Q37" s="11">
        <f t="shared" ref="Q37:Q41" si="0">P37*(0.25/70)^0.25</f>
        <v>9.7784604486980217E-2</v>
      </c>
      <c r="R37" s="1">
        <v>1</v>
      </c>
      <c r="S37" s="1">
        <v>10</v>
      </c>
      <c r="T37" s="1">
        <v>3</v>
      </c>
      <c r="W37" t="s">
        <v>210</v>
      </c>
    </row>
    <row r="38" spans="1:23" x14ac:dyDescent="0.2">
      <c r="A38">
        <v>1720</v>
      </c>
      <c r="B38" t="s">
        <v>201</v>
      </c>
      <c r="C38" t="s">
        <v>202</v>
      </c>
      <c r="D38">
        <v>2006</v>
      </c>
      <c r="E38" t="s">
        <v>193</v>
      </c>
      <c r="F38" t="s">
        <v>14</v>
      </c>
      <c r="G38" t="s">
        <v>14</v>
      </c>
      <c r="H38" t="s">
        <v>21</v>
      </c>
      <c r="I38" t="s">
        <v>16</v>
      </c>
      <c r="J38" s="5" t="s">
        <v>17</v>
      </c>
      <c r="K38" s="5" t="s">
        <v>17</v>
      </c>
      <c r="L38" s="12" t="s">
        <v>155</v>
      </c>
      <c r="M38" s="10" t="s">
        <v>215</v>
      </c>
      <c r="N38" s="10" t="s">
        <v>159</v>
      </c>
      <c r="O38" s="1" t="s">
        <v>150</v>
      </c>
      <c r="P38" s="1">
        <v>0.4</v>
      </c>
      <c r="Q38" s="11">
        <f t="shared" si="0"/>
        <v>9.7784604486980217E-2</v>
      </c>
      <c r="R38" s="1">
        <v>1</v>
      </c>
      <c r="S38" s="1">
        <v>10</v>
      </c>
      <c r="T38" s="1">
        <v>3</v>
      </c>
      <c r="W38" t="s">
        <v>210</v>
      </c>
    </row>
    <row r="39" spans="1:23" x14ac:dyDescent="0.2">
      <c r="A39">
        <v>1991</v>
      </c>
      <c r="B39" t="s">
        <v>203</v>
      </c>
      <c r="C39" t="s">
        <v>224</v>
      </c>
      <c r="D39">
        <v>2012</v>
      </c>
      <c r="E39" t="s">
        <v>194</v>
      </c>
      <c r="F39" t="s">
        <v>14</v>
      </c>
      <c r="G39" t="s">
        <v>14</v>
      </c>
      <c r="H39" t="s">
        <v>14</v>
      </c>
      <c r="I39" t="s">
        <v>14</v>
      </c>
      <c r="J39" s="5" t="s">
        <v>17</v>
      </c>
      <c r="K39" s="20" t="s">
        <v>17</v>
      </c>
      <c r="L39" s="10" t="s">
        <v>145</v>
      </c>
      <c r="M39" s="10" t="s">
        <v>216</v>
      </c>
      <c r="N39" s="10" t="s">
        <v>159</v>
      </c>
      <c r="O39" s="1" t="s">
        <v>185</v>
      </c>
      <c r="P39" s="1">
        <v>1.7999999999999999E-2</v>
      </c>
      <c r="Q39" s="1">
        <v>1.7999999999999999E-2</v>
      </c>
      <c r="R39" s="1">
        <v>10</v>
      </c>
      <c r="S39" s="1">
        <v>3</v>
      </c>
      <c r="T39" s="1">
        <v>3</v>
      </c>
      <c r="U39" s="10" t="s">
        <v>223</v>
      </c>
      <c r="W39" t="s">
        <v>211</v>
      </c>
    </row>
    <row r="40" spans="1:23" x14ac:dyDescent="0.2">
      <c r="A40">
        <v>1787</v>
      </c>
      <c r="B40" t="s">
        <v>204</v>
      </c>
      <c r="C40" t="s">
        <v>205</v>
      </c>
      <c r="D40">
        <v>2010</v>
      </c>
      <c r="E40" t="s">
        <v>195</v>
      </c>
      <c r="F40" t="s">
        <v>14</v>
      </c>
      <c r="G40" t="s">
        <v>14</v>
      </c>
      <c r="H40" t="s">
        <v>14</v>
      </c>
      <c r="I40" t="s">
        <v>16</v>
      </c>
      <c r="J40" s="5" t="s">
        <v>17</v>
      </c>
      <c r="K40" s="1" t="s">
        <v>17</v>
      </c>
      <c r="L40" s="10" t="s">
        <v>155</v>
      </c>
      <c r="M40" s="10" t="s">
        <v>217</v>
      </c>
      <c r="N40" s="10" t="s">
        <v>159</v>
      </c>
      <c r="O40" s="1" t="s">
        <v>150</v>
      </c>
      <c r="P40" s="1">
        <f>500*2.312</f>
        <v>1156</v>
      </c>
      <c r="Q40" s="11">
        <f t="shared" si="0"/>
        <v>282.59750696737279</v>
      </c>
      <c r="R40" s="1">
        <v>1</v>
      </c>
      <c r="S40" s="1">
        <v>10</v>
      </c>
      <c r="T40" s="1">
        <v>1</v>
      </c>
      <c r="U40" s="10" t="s">
        <v>218</v>
      </c>
      <c r="W40" t="s">
        <v>212</v>
      </c>
    </row>
    <row r="41" spans="1:23" x14ac:dyDescent="0.2">
      <c r="A41">
        <v>1735</v>
      </c>
      <c r="B41" t="s">
        <v>206</v>
      </c>
      <c r="C41" t="s">
        <v>207</v>
      </c>
      <c r="D41">
        <v>2013</v>
      </c>
      <c r="E41" t="s">
        <v>196</v>
      </c>
      <c r="F41" t="s">
        <v>14</v>
      </c>
      <c r="G41" t="s">
        <v>14</v>
      </c>
      <c r="H41" t="s">
        <v>14</v>
      </c>
      <c r="I41" t="s">
        <v>16</v>
      </c>
      <c r="J41" s="5" t="s">
        <v>17</v>
      </c>
      <c r="K41" s="1" t="s">
        <v>17</v>
      </c>
      <c r="L41" s="10" t="s">
        <v>155</v>
      </c>
      <c r="M41" s="10" t="s">
        <v>219</v>
      </c>
      <c r="N41" s="10" t="s">
        <v>159</v>
      </c>
      <c r="O41" s="1" t="s">
        <v>150</v>
      </c>
      <c r="P41" s="1">
        <v>0.6</v>
      </c>
      <c r="Q41" s="11">
        <f t="shared" si="0"/>
        <v>0.14667690673047032</v>
      </c>
      <c r="R41" s="1">
        <v>1</v>
      </c>
      <c r="S41" s="1">
        <v>1</v>
      </c>
      <c r="T41" s="1">
        <v>1</v>
      </c>
      <c r="U41" s="10" t="s">
        <v>218</v>
      </c>
      <c r="W41" t="s">
        <v>213</v>
      </c>
    </row>
    <row r="42" spans="1:23" x14ac:dyDescent="0.2">
      <c r="A42">
        <v>1756</v>
      </c>
      <c r="B42" t="s">
        <v>208</v>
      </c>
      <c r="C42" t="s">
        <v>209</v>
      </c>
      <c r="D42">
        <v>2014</v>
      </c>
      <c r="E42" t="s">
        <v>197</v>
      </c>
      <c r="F42" t="s">
        <v>14</v>
      </c>
      <c r="G42" t="s">
        <v>14</v>
      </c>
      <c r="H42" t="s">
        <v>14</v>
      </c>
      <c r="I42" t="s">
        <v>16</v>
      </c>
      <c r="J42" s="5" t="s">
        <v>17</v>
      </c>
      <c r="K42" s="1" t="s">
        <v>17</v>
      </c>
      <c r="L42" s="10" t="s">
        <v>153</v>
      </c>
      <c r="M42" s="10" t="s">
        <v>220</v>
      </c>
      <c r="N42" s="10" t="s">
        <v>159</v>
      </c>
      <c r="O42" s="1" t="s">
        <v>185</v>
      </c>
      <c r="P42" s="1">
        <f>2*59.07/95.53</f>
        <v>1.2366795770962002</v>
      </c>
      <c r="Q42" s="1">
        <f>P42</f>
        <v>1.2366795770962002</v>
      </c>
      <c r="R42" s="1">
        <v>1</v>
      </c>
      <c r="S42" s="1">
        <v>1</v>
      </c>
      <c r="T42" s="1">
        <v>10</v>
      </c>
      <c r="U42" s="10" t="s">
        <v>218</v>
      </c>
      <c r="W42" t="s">
        <v>214</v>
      </c>
    </row>
  </sheetData>
  <hyperlinks>
    <hyperlink ref="E2" r:id="rId1" xr:uid="{49221CEB-95AF-4F69-B5C6-0CCEF01D8EB6}"/>
    <hyperlink ref="E22" r:id="rId2" xr:uid="{E361407A-314B-C346-BD46-CCB16C1582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Read_Me</vt:lpstr>
      <vt:lpstr>PPRTV with Read-across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Roe</dc:creator>
  <cp:lastModifiedBy>Chiu, Weihsueh A</cp:lastModifiedBy>
  <dcterms:created xsi:type="dcterms:W3CDTF">2025-03-28T17:04:39Z</dcterms:created>
  <dcterms:modified xsi:type="dcterms:W3CDTF">2025-09-02T02:41:47Z</dcterms:modified>
</cp:coreProperties>
</file>